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747e41f62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w-Cost BOM" sheetId="1" r:id="Rb8e72f0418894a0f"/>
    <x:sheet xmlns:r="http://schemas.openxmlformats.org/officeDocument/2006/relationships" name="Budget Summary" sheetId="2" r:id="R907539c35c7b49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color rgb="FF7A4E00"/>
      <x:name val="Carlito"/>
    </x:font>
    <x:font>
      <x:sz val="11"/>
      <x:color rgb="FF1F2937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24557D"/>
      </x:patternFill>
    </x:fill>
    <x:fill>
      <x:patternFill patternType="solid">
        <x:fgColor rgb="FFEEF4F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3"/>
      </x:patternFill>
    </x:fill>
    <x:fill>
      <x:patternFill patternType="solid">
        <x:fgColor rgb="FF24557D"/>
      </x:patternFill>
    </x:fill>
    <x:fill>
      <x:patternFill patternType="solid">
        <x:fgColor rgb="FFEEF4F8"/>
      </x:patternFill>
    </x:fill>
    <x:fill>
      <x:patternFill patternType="solid">
        <x:fgColor rgb="FF0F6B7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 vertical="top" wrapText="1"/>
    </x:xf>
    <x:xf numFmtId="200" fontId="0" fillId="0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 applyAlignment="1">
      <x:alignment horizontal="right"/>
    </x:xf>
    <x:xf numFmtId="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right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horizontal="right" vertical="center"/>
    </x:xf>
    <x:xf numFmtId="0" fontId="0" fillId="4" borderId="1" xfId="0" applyNumberFormat="1" applyFont="1" applyFill="1" applyBorder="1"/>
    <x:xf numFmtId="200" fontId="0" fillId="4" borderId="1" xfId="0" applyNumberFormat="1" applyFont="1" applyFill="1" applyBorder="1" applyAlignment="1">
      <x:alignment horizontal="right"/>
    </x:xf>
    <x:xf numFmtId="0" fontId="4" fillId="4" borderId="1" xfId="0" applyNumberFormat="1" applyFont="1" applyFill="1" applyBorder="1"/>
    <x:xf numFmtId="200" fontId="4" fillId="4" borderId="1" xfId="0" applyNumberFormat="1" applyFont="1" applyFill="1" applyBorder="1" applyAlignment="1">
      <x:alignment horizontal="right"/>
    </x:xf>
    <x:xf numFmtId="0" fontId="4" fillId="4" borderId="1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B5E20"/>
      </x:font>
      <x:fill>
        <x:patternFill>
          <x:bgColor rgb="FFEAF6EC"/>
        </x:patternFill>
      </x:fill>
    </x:dxf>
    <x:dxf>
      <x:font>
        <x:b/>
        <x:color rgb="FF9C1C1C"/>
      </x:font>
      <x:fill>
        <x:patternFill>
          <x:bgColor rgb="FFFDECEC"/>
        </x:patternFill>
      </x:fill>
    </x:dxf>
    <x:dxf>
      <x:font>
        <x:b/>
        <x:color rgb="FF1B5E20"/>
      </x:font>
      <x:fill>
        <x:patternFill patternType="solid">
          <x:bgColor rgb="FFEAF6EC"/>
        </x:patternFill>
      </x:fill>
    </x:dxf>
    <x:dxf>
      <x:font>
        <x:b/>
        <x:color rgb="FF7A4E00"/>
      </x:font>
      <x:fill>
        <x:patternFill patternType="solid">
          <x:bgColor rgb="FFFFF2CC"/>
        </x:patternFill>
      </x:fill>
    </x:dxf>
    <x:dxf>
      <x:font>
        <x:b/>
        <x:color rgb="FF9C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0a422afe544e4" /><Relationship Type="http://schemas.openxmlformats.org/officeDocument/2006/relationships/theme" Target="/xl/theme/theme1.xml" Id="R876d33ddc2b64103" /><Relationship Type="http://schemas.openxmlformats.org/officeDocument/2006/relationships/sharedStrings" Target="/xl/sharedStrings.xml" Id="R02a695fc89224f92" /><Relationship Type="http://schemas.openxmlformats.org/officeDocument/2006/relationships/worksheet" Target="/xl/worksheets/sheet1.xml" Id="Rb8e72f0418894a0f" /><Relationship Type="http://schemas.openxmlformats.org/officeDocument/2006/relationships/worksheet" Target="/xl/worksheets/sheet2.xml" Id="R907539c35c7b49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872783e8f44e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Prototype Cost Comparison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Estimated cost (₹)</c:v>
          </c:tx>
          <c:cat>
            <c:strRef>
              <c:f>'Budget Summary'!$A$4:$A$6</c:f>
              <c:strCache>
                <c:ptCount val="0"/>
              </c:strCache>
            </c:strRef>
          </c:cat>
          <c:val>
            <c:numRef>
              <c:f>'Budget Summary'!$B$4:$B$6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872783e8f44ed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wCostBOMTable" displayName="LowCostBOMTable" ref="A4:G20" headerRowCount="1" totalsRowCount="0" totalsRowShown="0">
  <x:tableColumns count="7">
    <x:tableColumn id="1" name="Item"/>
    <x:tableColumn id="2" name="Qty"/>
    <x:tableColumn id="3" name="Recommended specification"/>
    <x:tableColumn id="4" name="Approx. unit price (₹)"/>
    <x:tableColumn id="5" name="Est. total (₹)"/>
    <x:tableColumn id="6" name="Need now?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d237a41c9a49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65bd993877841a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52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42" hidden="0" customWidth="1"/>
    <x:col min="9" max="9" width="18" hidden="0" customWidth="1"/>
    <x:col min="10" max="10" width="52" hidden="0" customWidth="1"/>
  </x:cols>
  <x:sheetData>
    <x:row r="1" ht="32" customHeight="1">
      <x:c r="A1" s="5" t="str">
        <x:v>Low-Cost Exoskeleton Electronics + VLA Prototype</x:v>
      </x:c>
      <x:c r="B1" s="5"/>
      <x:c r="C1" s="5"/>
      <x:c r="D1" s="5"/>
      <x:c r="E1" s="5"/>
      <x:c r="F1" s="5"/>
      <x:c r="G1" s="5"/>
      <x:c r="H1" s="81" t="str">
        <x:v>Validation against Motor Torque Analysis v2</x:v>
      </x:c>
      <x:c r="I1" s="81"/>
      <x:c r="J1" s="81"/>
    </x:row>
    <x:row r="2" ht="34" customHeight="1">
      <x:c r="A2" s="14" t="str">
        <x:v>Budget version for a bench / unloaded one-leg prototype. Existing ESP32, ESP32-CAM and laptop are counted at ₹0.</x:v>
      </x:c>
      <x:c r="B2" s="14"/>
      <x:c r="C2" s="14"/>
      <x:c r="D2" s="14"/>
      <x:c r="E2" s="14"/>
      <x:c r="F2" s="14"/>
      <x:c r="G2" s="14"/>
      <x:c r="H2" s="86" t="str">
        <x:v>PDF basis: 80 kg reference case; knee 120 N·m peak / 60 N·m continuous, ankle 60 N·m peak / 30 N·m continuous, passive hip.</x:v>
      </x:c>
      <x:c r="I2" s="86"/>
      <x:c r="J2" s="86"/>
    </x:row>
    <x:row r="4" ht="38" customHeight="1">
      <x:c r="A4" s="23" t="str">
        <x:v>Item</x:v>
      </x:c>
      <x:c r="B4" s="23" t="str">
        <x:v>Qty</x:v>
      </x:c>
      <x:c r="C4" s="23" t="str">
        <x:v>Recommended specification</x:v>
      </x:c>
      <x:c r="D4" s="23" t="str">
        <x:v>Approx. unit price (₹)</x:v>
      </x:c>
      <x:c r="E4" s="23" t="str">
        <x:v>Est. total (₹)</x:v>
      </x:c>
      <x:c r="F4" s="23" t="str">
        <x:v>Need now?</x:v>
      </x:c>
      <x:c r="G4" s="23" t="str">
        <x:v>Notes</x:v>
      </x:c>
      <x:c r="H4" s="91" t="str">
        <x:v>PDF requirement / check</x:v>
      </x:c>
      <x:c r="I4" s="91" t="str">
        <x:v>Validation</x:v>
      </x:c>
      <x:c r="J4" s="91" t="str">
        <x:v>Required correction / comment</x:v>
      </x:c>
    </x:row>
    <x:row r="5" ht="72" customHeight="1">
      <x:c r="A5" s="30" t="str">
        <x:v>Knee actuator</x:v>
      </x:c>
      <x:c r="B5" s="36" t="n">
        <x:v>1</x:v>
      </x:c>
      <x:c r="C5" s="30" t="str">
        <x:v>MY1016Z3, 24 V, 350 W geared brushed DC motor, about 300 RPM output; use extra chain/belt reduction for joint torque.</x:v>
      </x:c>
      <x:c r="D5" s="38" t="n">
        <x:v>3450</x:v>
      </x:c>
      <x:c r="E5" s="38" t="n">
        <x:f>B5*D5</x:f>
        <x:v>3450</x:v>
      </x:c>
      <x:c r="F5" s="30" t="str">
        <x:v>Yes</x:v>
      </x:c>
      <x:c r="G5" s="30" t="str">
        <x:v>Cheap prototype motor only — not a final human-load actuator.</x:v>
      </x:c>
      <x:c r="H5" s="30" t="str">
        <x:v>Knee: 120 N·m peak, 60 N·m continuous; provisional final drive is 48 V BLDC/PMSM, 300–400 W class.</x:v>
      </x:c>
      <x:c r="I5" s="36" t="str">
        <x:v>CONDITIONAL</x:v>
      </x:c>
      <x:c r="J5" s="30" t="str">
        <x:v>The 24 V 350 W brushed geared motor is not compliant with the PDF's final 48 V BLDC/PMSM recommendation. It can be used for bench/unloaded proof-of-concept only. External reduction must be much higher than 3:1–5:1.</x:v>
      </x:c>
    </x:row>
    <x:row r="6" ht="72" customHeight="1">
      <x:c r="A6" s="30" t="str">
        <x:v>Ankle actuator</x:v>
      </x:c>
      <x:c r="B6" s="36" t="n">
        <x:v>1</x:v>
      </x:c>
      <x:c r="C6" s="30" t="str">
        <x:v>MY1016Z3, 24 V, 350 W geared brushed DC motor, about 300 RPM output; use extra chain/belt reduction.</x:v>
      </x:c>
      <x:c r="D6" s="38" t="n">
        <x:v>3450</x:v>
      </x:c>
      <x:c r="E6" s="38" t="n">
        <x:f>B6*D6</x:f>
        <x:v>3450</x:v>
      </x:c>
      <x:c r="F6" s="30" t="str">
        <x:v>Yes</x:v>
      </x:c>
      <x:c r="G6" s="30" t="str">
        <x:v>Suitable for bench/unloaded testing.</x:v>
      </x:c>
      <x:c r="H6" s="30" t="str">
        <x:v>Ankle: 60 N·m peak, 30 N·m continuous; provisional final drive is 48 V BLDC/PMSM, 150–250 W class; keep distal mass low.</x:v>
      </x:c>
      <x:c r="I6" s="36" t="str">
        <x:v>CONDITIONAL</x:v>
      </x:c>
      <x:c r="J6" s="30" t="str">
        <x:v>350 W is enough in power class, but this motor is heavy for the ankle and not the PDF's final BLDC/PMSM architecture. Use for bench/unloaded testing only.</x:v>
      </x:c>
    </x:row>
    <x:row r="7" ht="72" customHeight="1">
      <x:c r="A7" s="30" t="str">
        <x:v>Motor driver</x:v>
      </x:c>
      <x:c r="B7" s="36" t="n">
        <x:v>2</x:v>
      </x:c>
      <x:c r="C7" s="30" t="str">
        <x:v>BTS7960 dual H-bridge module, about 43 A peak module rating, 6–27 V motor supply, ESP32-compatible PWM logic.</x:v>
      </x:c>
      <x:c r="D7" s="38" t="n">
        <x:v>309</x:v>
      </x:c>
      <x:c r="E7" s="38" t="n">
        <x:f>B7*D7</x:f>
        <x:v>618</x:v>
      </x:c>
      <x:c r="F7" s="30" t="str">
        <x:v>Yes</x:v>
      </x:c>
      <x:c r="G7" s="30" t="str">
        <x:v>One driver per motor.</x:v>
      </x:c>
      <x:c r="H7" s="30" t="str">
        <x:v>Motor control must allow reversible joint actuation and safe current limiting.</x:v>
      </x:c>
      <x:c r="I7" s="36" t="str">
        <x:v>CONDITIONAL</x:v>
      </x:c>
      <x:c r="J7" s="30" t="str">
        <x:v>BTS7960 modules can be used for a cheap bench prototype, but verify real thermal/current performance. The BTS7960 IC is obsolete; do not treat the advertised 43 A as a guaranteed continuous module current.</x:v>
      </x:c>
    </x:row>
    <x:row r="8" ht="72" customHeight="1">
      <x:c r="A8" s="30" t="str">
        <x:v>Main controller</x:v>
      </x:c>
      <x:c r="B8" s="36" t="n">
        <x:v>1</x:v>
      </x:c>
      <x:c r="C8" s="30" t="str">
        <x:v>ESP32 DevKit / ESP32-WROOM-32.</x:v>
      </x:c>
      <x:c r="D8" s="38" t="n">
        <x:v>0</x:v>
      </x:c>
      <x:c r="E8" s="38" t="n">
        <x:f>B8*D8</x:f>
        <x:v>0</x:v>
      </x:c>
      <x:c r="F8" s="30" t="str">
        <x:v>Already available</x:v>
      </x:c>
      <x:c r="G8" s="30" t="str">
        <x:v>Use for PWM, sensors, watchdog and safety checks.</x:v>
      </x:c>
      <x:c r="H8" s="30" t="str">
        <x:v>Controller must implement commanded knee/ankle outputs; hip remains passive.</x:v>
      </x:c>
      <x:c r="I8" s="36" t="str">
        <x:v>PASS</x:v>
      </x:c>
      <x:c r="J8" s="30" t="str">
        <x:v>ESP32 is appropriate as a low-level prototype controller for PWM, encoder reading, watchdog and limits.</x:v>
      </x:c>
    </x:row>
    <x:row r="9" ht="72" customHeight="1">
      <x:c r="A9" s="30" t="str">
        <x:v>Camera</x:v>
      </x:c>
      <x:c r="B9" s="36" t="n">
        <x:v>1</x:v>
      </x:c>
      <x:c r="C9" s="30" t="str">
        <x:v>ESP32-CAM with OV2640 camera.</x:v>
      </x:c>
      <x:c r="D9" s="38" t="n">
        <x:v>0</x:v>
      </x:c>
      <x:c r="E9" s="38" t="n">
        <x:f>B9*D9</x:f>
        <x:v>0</x:v>
      </x:c>
      <x:c r="F9" s="30" t="str">
        <x:v>Already available</x:v>
      </x:c>
      <x:c r="G9" s="30" t="str">
        <x:v>Use as low-cost vision / logging camera.</x:v>
      </x:c>
      <x:c r="H9" s="30" t="str">
        <x:v>Camera is not part of torque sizing.</x:v>
      </x:c>
      <x:c r="I9" s="36" t="str">
        <x:v>PASS FOR PROTOTYPE</x:v>
      </x:c>
      <x:c r="J9" s="30" t="str">
        <x:v>ESP32-CAM is fine to prove the VLA/CV pipeline, but it is not a final high-quality perception sensor.</x:v>
      </x:c>
    </x:row>
    <x:row r="10" ht="72" customHeight="1">
      <x:c r="A10" s="30" t="str">
        <x:v>VLA computer</x:v>
      </x:c>
      <x:c r="B10" s="36" t="n">
        <x:v>1</x:v>
      </x:c>
      <x:c r="C10" s="30" t="str">
        <x:v>Existing laptop or desktop PC with Python/PyTorch; GPU preferred but not required for initial control tests.</x:v>
      </x:c>
      <x:c r="D10" s="38" t="n">
        <x:v>0</x:v>
      </x:c>
      <x:c r="E10" s="38" t="n">
        <x:f>B10*D10</x:f>
        <x:v>0</x:v>
      </x:c>
      <x:c r="F10" s="30" t="str">
        <x:v>Already available</x:v>
      </x:c>
      <x:c r="G10" s="30" t="str">
        <x:v>Avoid buying a Jetson during early development.</x:v>
      </x:c>
      <x:c r="H10" s="30" t="str">
        <x:v>VLA compute is outside the mechanical torque model.</x:v>
      </x:c>
      <x:c r="I10" s="36" t="str">
        <x:v>PASS</x:v>
      </x:c>
      <x:c r="J10" s="30" t="str">
        <x:v>Using the existing laptop is the cheapest sensible choice for early VLA development.</x:v>
      </x:c>
    </x:row>
    <x:row r="11" ht="72" customHeight="1">
      <x:c r="A11" s="30" t="str">
        <x:v>Joint encoder</x:v>
      </x:c>
      <x:c r="B11" s="36" t="n">
        <x:v>2</x:v>
      </x:c>
      <x:c r="C11" s="30" t="str">
        <x:v>AS5600 12-bit magnetic absolute angle sensor.</x:v>
      </x:c>
      <x:c r="D11" s="38" t="n">
        <x:v>175</x:v>
      </x:c>
      <x:c r="E11" s="38" t="n">
        <x:f>B11*D11</x:f>
        <x:v>350</x:v>
      </x:c>
      <x:c r="F11" s="30" t="str">
        <x:v>Yes</x:v>
      </x:c>
      <x:c r="G11" s="30" t="str">
        <x:v>One at knee and one at ankle.</x:v>
      </x:c>
      <x:c r="H11" s="30" t="str">
        <x:v>Loaded joint angle / velocity must be measured for final sizing and validation.</x:v>
      </x:c>
      <x:c r="I11" s="36" t="str">
        <x:v>PASS</x:v>
      </x:c>
      <x:c r="J11" s="30" t="str">
        <x:v>AS5600 joint encoders directly support joint-angle measurement. Calibrate joint zero and sign.</x:v>
      </x:c>
    </x:row>
    <x:row r="12" ht="72" customHeight="1">
      <x:c r="A12" s="30" t="str">
        <x:v>IMU</x:v>
      </x:c>
      <x:c r="B12" s="36" t="n">
        <x:v>3</x:v>
      </x:c>
      <x:c r="C12" s="30" t="str">
        <x:v>MPU6050 6-axis IMU (3-axis accelerometer + 3-axis gyroscope).</x:v>
      </x:c>
      <x:c r="D12" s="38" t="n">
        <x:v>144</x:v>
      </x:c>
      <x:c r="E12" s="38" t="n">
        <x:f>B12*D12</x:f>
        <x:v>432</x:v>
      </x:c>
      <x:c r="F12" s="30" t="str">
        <x:v>Yes</x:v>
      </x:c>
      <x:c r="G12" s="30" t="str">
        <x:v>Start with pelvis, thigh and shank.</x:v>
      </x:c>
      <x:c r="H12" s="30" t="str">
        <x:v>Loaded motion / body-segment state should be recorded; PDF requires loaded joint kinematics.</x:v>
      </x:c>
      <x:c r="I12" s="36" t="str">
        <x:v>CONDITIONAL</x:v>
      </x:c>
      <x:c r="J12" s="30" t="str">
        <x:v>Three MPU6050 boards are useful, but multiple I²C devices need proper bus addressing. Add an I²C multiplexer or separate buses.</x:v>
      </x:c>
    </x:row>
    <x:row r="13" ht="72" customHeight="1">
      <x:c r="A13" s="30" t="str">
        <x:v>Foot pressure sensor</x:v>
      </x:c>
      <x:c r="B13" s="36" t="n">
        <x:v>4</x:v>
      </x:c>
      <x:c r="C13" s="30" t="str">
        <x:v>FSR402 or similar force-sensitive resistor.</x:v>
      </x:c>
      <x:c r="D13" s="38" t="n">
        <x:v>150</x:v>
      </x:c>
      <x:c r="E13" s="38" t="n">
        <x:f>B13*D13</x:f>
        <x:v>600</x:v>
      </x:c>
      <x:c r="F13" s="30" t="str">
        <x:v>Yes</x:v>
      </x:c>
      <x:c r="G13" s="30" t="str">
        <x:v>Place at heel, toe, medial forefoot and lateral forefoot.</x:v>
      </x:c>
      <x:c r="H13" s="30" t="str">
        <x:v>PDF requires synchronized ground-reaction force and centre-of-pressure trajectories for final sizing.</x:v>
      </x:c>
      <x:c r="I13" s="36" t="str">
        <x:v>PARTIAL</x:v>
      </x:c>
      <x:c r="J13" s="30" t="str">
        <x:v>Four FSRs can estimate contact timing and rough COP only. They are not a replacement for calibrated force-plate/GRF data.</x:v>
      </x:c>
    </x:row>
    <x:row r="14" ht="72" customHeight="1">
      <x:c r="A14" s="30" t="str">
        <x:v>ADC</x:v>
      </x:c>
      <x:c r="B14" s="36" t="n">
        <x:v>1</x:v>
      </x:c>
      <x:c r="C14" s="30" t="str">
        <x:v>ADS1115, 16-bit, 4-channel ADC module.</x:v>
      </x:c>
      <x:c r="D14" s="38" t="n">
        <x:v>200</x:v>
      </x:c>
      <x:c r="E14" s="38" t="n">
        <x:f>B14*D14</x:f>
        <x:v>200</x:v>
      </x:c>
      <x:c r="F14" s="30" t="str">
        <x:v>Yes</x:v>
      </x:c>
      <x:c r="G14" s="30" t="str">
        <x:v>Reads the four pressure sensors with better resolution.</x:v>
      </x:c>
      <x:c r="H14" s="30" t="str">
        <x:v>Pressure sensors require synchronized acquisition.</x:v>
      </x:c>
      <x:c r="I14" s="36" t="str">
        <x:v>PASS</x:v>
      </x:c>
      <x:c r="J14" s="30" t="str">
        <x:v>ADS1115 can read four FSR channels for prototype logging. Confirm configured sample rate is sufficient for the chosen gait experiment.</x:v>
      </x:c>
    </x:row>
    <x:row r="15" ht="72" customHeight="1">
      <x:c r="A15" s="30" t="str">
        <x:v>Bench power supply</x:v>
      </x:c>
      <x:c r="B15" s="36" t="n">
        <x:v>1</x:v>
      </x:c>
      <x:c r="C15" s="30" t="str">
        <x:v>24 V, 40 A (about 960 W) SMPS for simultaneous knee + ankle bench testing; a 20 A supply is only suitable if testing one motor at a time.</x:v>
      </x:c>
      <x:c r="D15" s="38" t="n">
        <x:v>4500</x:v>
      </x:c>
      <x:c r="E15" s="38" t="n">
        <x:f>B15*D15</x:f>
        <x:v>4500</x:v>
      </x:c>
      <x:c r="F15" s="30" t="str">
        <x:v>Yes</x:v>
      </x:c>
      <x:c r="G15" s="30" t="str">
        <x:v>For early bench testing only; use guarded setup and proper fusing.</x:v>
      </x:c>
      <x:c r="H15" s="30" t="str">
        <x:v>Power must support the loaded motor duty cycle; final current and thermal validation are required.</x:v>
      </x:c>
      <x:c r="I15" s="36" t="str">
        <x:v>CONDITIONAL</x:v>
      </x:c>
      <x:c r="J15" s="30" t="str">
        <x:v>For simultaneous knee + ankle operation, use about a 24 V / 40 A-class bench supply or test one motor at a time. Final supply sizing must be confirmed from measured current.</x:v>
      </x:c>
    </x:row>
    <x:row r="16" ht="72" customHeight="1">
      <x:c r="A16" s="30" t="str">
        <x:v>Emergency stop</x:v>
      </x:c>
      <x:c r="B16" s="36" t="n">
        <x:v>1</x:v>
      </x:c>
      <x:c r="C16" s="30" t="str">
        <x:v>Mushroom-type E-stop switch, preferably 1NO + 1NC.</x:v>
      </x:c>
      <x:c r="D16" s="38" t="n">
        <x:v>600</x:v>
      </x:c>
      <x:c r="E16" s="38" t="n">
        <x:f>B16*D16</x:f>
        <x:v>600</x:v>
      </x:c>
      <x:c r="F16" s="30" t="str">
        <x:v>Yes</x:v>
      </x:c>
      <x:c r="G16" s="30" t="str">
        <x:v>Should remove motor power independently of software.</x:v>
      </x:c>
      <x:c r="H16" s="30" t="str">
        <x:v>PDF requires emergency braking and power-loss support strategy.</x:v>
      </x:c>
      <x:c r="I16" s="36" t="str">
        <x:v>PARTIAL</x:v>
      </x:c>
      <x:c r="J16" s="30" t="str">
        <x:v>An E-stop switch alone should not carry motor current. Add a DC-rated contactor/relay so the E-stop physically removes motor power.</x:v>
      </x:c>
    </x:row>
    <x:row r="17" ht="72" customHeight="1">
      <x:c r="A17" s="30" t="str">
        <x:v>Main fuse + holder</x:v>
      </x:c>
      <x:c r="B17" s="36" t="n">
        <x:v>1</x:v>
      </x:c>
      <x:c r="C17" s="30" t="str">
        <x:v>DC-rated fuse and holder suitable for a 24 V prototype; choose current rating after measuring motor current.</x:v>
      </x:c>
      <x:c r="D17" s="38" t="n">
        <x:v>500</x:v>
      </x:c>
      <x:c r="E17" s="38" t="n">
        <x:f>B17*D17</x:f>
        <x:v>500</x:v>
      </x:c>
      <x:c r="F17" s="30" t="str">
        <x:v>Yes</x:v>
      </x:c>
      <x:c r="G17" s="30" t="str">
        <x:v>Do not omit this.</x:v>
      </x:c>
      <x:c r="H17" s="30" t="str">
        <x:v>Electrical protection is required before loaded bench validation.</x:v>
      </x:c>
      <x:c r="I17" s="36" t="str">
        <x:v>PASS WITH SIZING</x:v>
      </x:c>
      <x:c r="J17" s="30" t="str">
        <x:v>Keep the fuse, but size it from measured bus current and wire rating, not only from motor nameplate power.</x:v>
      </x:c>
    </x:row>
    <x:row r="18" ht="72" customHeight="1">
      <x:c r="A18" s="30" t="str">
        <x:v>24 V → 5 V buck converter</x:v>
      </x:c>
      <x:c r="B18" s="36" t="n">
        <x:v>1</x:v>
      </x:c>
      <x:c r="C18" s="30" t="str">
        <x:v>Regulated 24 V → 5 V, 3–5 A buck converter.</x:v>
      </x:c>
      <x:c r="D18" s="38" t="n">
        <x:v>250</x:v>
      </x:c>
      <x:c r="E18" s="38" t="n">
        <x:f>B18*D18</x:f>
        <x:v>250</x:v>
      </x:c>
      <x:c r="F18" s="30" t="str">
        <x:v>Yes</x:v>
      </x:c>
      <x:c r="G18" s="30" t="str">
        <x:v>Powers ESP32, ESP32-CAM and small sensors.</x:v>
      </x:c>
      <x:c r="H18" s="30" t="str">
        <x:v>Logic supply must be isolated from motor-current disturbances as much as practical.</x:v>
      </x:c>
      <x:c r="I18" s="36" t="str">
        <x:v>PASS</x:v>
      </x:c>
      <x:c r="J18" s="30" t="str">
        <x:v>24 V → 5 V buck is suitable for ESP32/camera/sensors if rated for noise and current.</x:v>
      </x:c>
    </x:row>
    <x:row r="19" ht="72" customHeight="1">
      <x:c r="A19" s="30" t="str">
        <x:v>Chain / belt reduction kit</x:v>
      </x:c>
      <x:c r="B19" s="36" t="n">
        <x:v>2</x:v>
      </x:c>
      <x:c r="C19" s="30" t="str">
        <x:v>Knee: target about 15:1 external reduction. Ankle: target about 25:1 external reduction. Use a two-stage chain/belt reduction if needed; limit commanded torque in software.</x:v>
      </x:c>
      <x:c r="D19" s="38" t="n">
        <x:v>1500</x:v>
      </x:c>
      <x:c r="E19" s="38" t="n">
        <x:f>B19*D19</x:f>
        <x:v>3000</x:v>
      </x:c>
      <x:c r="F19" s="30" t="str">
        <x:v>Yes</x:v>
      </x:c>
      <x:c r="G19" s="30" t="str">
        <x:v>One reduction stage per powered joint.</x:v>
      </x:c>
      <x:c r="H19" s="30" t="str">
        <x:v>Transmission must deliver the required joint torque while preserving required joint speed.</x:v>
      </x:c>
      <x:c r="I19" s="36" t="str">
        <x:v>FAIL AS WRITTEN</x:v>
      </x:c>
      <x:c r="J19" s="30" t="str">
        <x:v>3:1–5:1 is too small. The PDF gait reaches about 19.2 rpm at the knee and 11.0 rpm at the ankle. With a ~300 rpm geared motor output, speed-matched starting ratios are about 15–16:1 knee and 25–27:1 ankle. Validate actual torque, temperature and speed on a rig before loaded use.</x:v>
      </x:c>
    </x:row>
    <x:row r="20" ht="72" customHeight="1">
      <x:c r="A20" s="30" t="str">
        <x:v>Wires + connectors</x:v>
      </x:c>
      <x:c r="B20" s="36" t="n">
        <x:v>1</x:v>
      </x:c>
      <x:c r="C20" s="30" t="str">
        <x:v>Motor wire, signal wire, XT60/terminal connectors, ferrules, heat-shrink and cable ties.</x:v>
      </x:c>
      <x:c r="D20" s="38" t="n">
        <x:v>1000</x:v>
      </x:c>
      <x:c r="E20" s="38" t="n">
        <x:f>B20*D20</x:f>
        <x:v>1000</x:v>
      </x:c>
      <x:c r="F20" s="30" t="str">
        <x:v>Yes</x:v>
      </x:c>
      <x:c r="G20" s="30" t="str">
        <x:v>Use thicker wire for motor-current paths.</x:v>
      </x:c>
      <x:c r="H20" s="30" t="str">
        <x:v>Wiring must tolerate motor current and sensor wiring should be separated from high-current paths.</x:v>
      </x:c>
      <x:c r="I20" s="36" t="str">
        <x:v>PASS WITH SIZING</x:v>
      </x:c>
      <x:c r="J20" s="30" t="str">
        <x:v>Keep this row; choose conductor gauge/connectors after current tests and add strain relief.</x:v>
      </x:c>
    </x:row>
    <x:row r="21">
      <x:c r="A21" s="46" t="str">
        <x:v>Estimated one-leg prototype total</x:v>
      </x:c>
      <x:c r="B21" s="46"/>
      <x:c r="C21" s="46"/>
      <x:c r="D21" s="47"/>
      <x:c r="E21" s="47" t="n">
        <x:f>SUM(E5:E20)</x:f>
        <x:v>18950</x:v>
      </x:c>
      <x:c r="F21" s="46" t="str">
        <x:v>Approximate only — re-check seller prices before purchase.</x:v>
      </x:c>
      <x:c r="G21" s="46"/>
    </x:row>
    <x:row r="23" ht="48" customHeight="1">
      <x:c r="A23" s="57" t="str">
        <x:v>Important: this low-cost motor setup is for bench, suspended-leg or unloaded control/VLA experiments. It is not a substitute for the final actuators required for the full exoskeleton torque targets.</x:v>
      </x:c>
      <x:c r="B23" s="57"/>
      <x:c r="C23" s="57"/>
      <x:c r="D23" s="57"/>
      <x:c r="E23" s="57"/>
      <x:c r="F23" s="57"/>
      <x:c r="G23" s="57"/>
    </x:row>
    <x:row r="25">
      <x:c r="A25" s="91" t="str">
        <x:v>Additional required item</x:v>
      </x:c>
      <x:c r="B25" s="91" t="str">
        <x:v>Qty</x:v>
      </x:c>
      <x:c r="C25" s="91" t="str">
        <x:v>Recommended specification</x:v>
      </x:c>
      <x:c r="D25" s="91" t="str">
        <x:v>Approx. unit price (₹)</x:v>
      </x:c>
      <x:c r="E25" s="91" t="str">
        <x:v>Est. total (₹)</x:v>
      </x:c>
      <x:c r="F25" s="91" t="str">
        <x:v>Need now?</x:v>
      </x:c>
      <x:c r="G25" s="91" t="str">
        <x:v>Notes</x:v>
      </x:c>
    </x:row>
    <x:row r="26" ht="64" customHeight="1">
      <x:c r="A26" s="68" t="str">
        <x:v>I²C multiplexer</x:v>
      </x:c>
      <x:c r="B26" s="68" t="n">
        <x:v>1</x:v>
      </x:c>
      <x:c r="C26" s="68" t="str">
        <x:v>TCA9548A 8-channel I²C multiplexer module.</x:v>
      </x:c>
      <x:c r="D26" s="70" t="n">
        <x:v>250</x:v>
      </x:c>
      <x:c r="E26" s="70" t="n">
        <x:f>B26*D26</x:f>
        <x:v>250</x:v>
      </x:c>
      <x:c r="F26" s="68" t="str">
        <x:v>Yes</x:v>
      </x:c>
      <x:c r="G26" s="68" t="str">
        <x:v>Needed to cleanly connect multiple AS5600 and MPU6050 devices that share/fix I²C addresses.</x:v>
      </x:c>
    </x:row>
    <x:row r="27" ht="64" customHeight="1">
      <x:c r="A27" s="68" t="str">
        <x:v>DC motor power contactor / relay</x:v>
      </x:c>
      <x:c r="B27" s="68" t="n">
        <x:v>1</x:v>
      </x:c>
      <x:c r="C27" s="68" t="str">
        <x:v>24 V DC coil, DC-rated contactor/relay, at least 60 A contact rating for bench prototype.</x:v>
      </x:c>
      <x:c r="D27" s="70" t="n">
        <x:v>1500</x:v>
      </x:c>
      <x:c r="E27" s="70" t="n">
        <x:f>B27*D27</x:f>
        <x:v>1500</x:v>
      </x:c>
      <x:c r="F27" s="68" t="str">
        <x:v>Yes</x:v>
      </x:c>
      <x:c r="G27" s="68" t="str">
        <x:v>E-stop controls the coil; contactor physically removes motor power.</x:v>
      </x:c>
    </x:row>
  </x:sheetData>
  <x:mergeCells>
    <x:mergeCell ref="A1:G1"/>
    <x:mergeCell ref="A2:G2"/>
    <x:mergeCell ref="A21:D21"/>
    <x:mergeCell ref="F21:G21"/>
    <x:mergeCell ref="A23:G23"/>
    <x:mergeCell ref="H1:J1"/>
    <x:mergeCell ref="H2:J2"/>
  </x:mergeCells>
  <x:conditionalFormatting sqref="F5:F20">
    <x:cfRule type="expression" dxfId="0" priority="1">
      <x:formula>F5="Already available"</x:formula>
    </x:cfRule>
    <x:cfRule type="expression" dxfId="1" priority="2">
      <x:formula>F5="Yes"</x:formula>
    </x:cfRule>
  </x:conditionalFormatting>
  <x:conditionalFormatting sqref="I5:I20">
    <x:cfRule type="expression" dxfId="2" priority="3">
      <x:formula>OR(I5="PASS",I5="PASS FOR PROTOTYPE",I5="PASS WITH SIZING")</x:formula>
    </x:cfRule>
    <x:cfRule type="expression" dxfId="3" priority="4">
      <x:formula>OR(I5="CONDITIONAL",I5="PARTIAL")</x:formula>
    </x:cfRule>
    <x:cfRule type="expression" dxfId="4" priority="5">
      <x:formula>LEFT(I5,4)="FAIL"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d237a41c9a49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6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4" t="str">
        <x:v>Budget Summary</x:v>
      </x:c>
      <x:c r="B1" s="4"/>
      <x:c r="C1" s="4"/>
      <x:c r="D1" s="4"/>
      <x:c r="E1" s="4"/>
    </x:row>
    <x:row r="3">
      <x:c r="A3" s="64" t="str">
        <x:v>Prototype</x:v>
      </x:c>
      <x:c r="B3" s="64" t="str">
        <x:v>Estimated cost (₹)</x:v>
      </x:c>
    </x:row>
    <x:row r="4">
      <x:c r="A4" s="68" t="str">
        <x:v>One-leg low-cost prototype</x:v>
      </x:c>
      <x:c r="B4" s="70" t="n">
        <x:f>'Low-Cost BOM'!E21</x:f>
        <x:v>18950</x:v>
      </x:c>
    </x:row>
    <x:row r="5">
      <x:c r="A5" s="68" t="str">
        <x:v>Add second leg later</x:v>
      </x:c>
      <x:c r="B5" s="70" t="n">
        <x:f>'Low-Cost BOM'!D5+'Low-Cost BOM'!D6+2*'Low-Cost BOM'!D7+2*'Low-Cost BOM'!D10+2*'Low-Cost BOM'!D11+4*'Low-Cost BOM'!D12+'Low-Cost BOM'!D13+2*'Low-Cost BOM'!D19</x:f>
        <x:v>11594</x:v>
      </x:c>
    </x:row>
    <x:row r="6">
      <x:c r="A6" s="68" t="str">
        <x:v>Approx. two-leg low-cost hardware</x:v>
      </x:c>
      <x:c r="B6" s="70" t="n">
        <x:f>B4+B5</x:f>
        <x:v>30544</x:v>
      </x:c>
    </x:row>
    <x:row r="7">
      <x:c r="A7" s="68" t="str">
        <x:v>Existing ESP32 + ESP32-CAM + laptop</x:v>
      </x:c>
      <x:c r="B7" s="70" t="n">
        <x:v>0</x:v>
      </x:c>
    </x:row>
    <x:row r="9">
      <x:c r="A9" s="73" t="str">
        <x:v>What is intentionally removed from this budget?</x:v>
      </x:c>
      <x:c r="B9" s="73" t="str"/>
      <x:c r="C9" s="73" t="str"/>
      <x:c r="D9" s="73" t="str"/>
      <x:c r="E9" s="73" t="str"/>
    </x:row>
    <x:row r="10">
      <x:c r="A10" s="76" t="str">
        <x:v>CubeMars integrated actuators</x:v>
      </x:c>
      <x:c r="B10" s="76" t="str"/>
      <x:c r="C10" s="76" t="str"/>
      <x:c r="D10" s="76" t="str"/>
      <x:c r="E10" s="76" t="str"/>
    </x:row>
    <x:row r="11">
      <x:c r="A11" s="76" t="str">
        <x:v>Jetson Orin NX</x:v>
      </x:c>
      <x:c r="B11" s="76" t="str"/>
      <x:c r="C11" s="76" t="str"/>
      <x:c r="D11" s="76" t="str"/>
      <x:c r="E11" s="76" t="str"/>
    </x:row>
    <x:row r="12">
      <x:c r="A12" s="76" t="str">
        <x:v>RealSense D455</x:v>
      </x:c>
      <x:c r="B12" s="76" t="str"/>
      <x:c r="C12" s="76" t="str"/>
      <x:c r="D12" s="76" t="str"/>
      <x:c r="E12" s="76" t="str"/>
    </x:row>
    <x:row r="13">
      <x:c r="A13" s="76" t="str">
        <x:v>Research-grade inline torque sensors</x:v>
      </x:c>
      <x:c r="B13" s="76" t="str"/>
      <x:c r="C13" s="76" t="str"/>
      <x:c r="D13" s="76" t="str"/>
      <x:c r="E13" s="76" t="str"/>
    </x:row>
    <x:row r="14">
      <x:c r="A14" s="76" t="str">
        <x:v>CAN bus hardware</x:v>
      </x:c>
      <x:c r="B14" s="76" t="str"/>
      <x:c r="C14" s="76" t="str"/>
      <x:c r="D14" s="76" t="str"/>
      <x:c r="E14" s="76" t="str"/>
    </x:row>
    <x:row r="16">
      <x:c r="A16" s="93" t="str">
        <x:v>Validation update</x:v>
      </x:c>
      <x:c r="B16" s="93" t="str">
        <x:v>Result / Budget</x:v>
      </x:c>
    </x:row>
    <x:row r="17">
      <x:c r="A17" s="95" t="str">
        <x:v>Original one-leg estimate</x:v>
      </x:c>
      <x:c r="B17" s="70" t="n">
        <x:f>'Low-Cost BOM'!E21</x:f>
        <x:v>18950</x:v>
      </x:c>
    </x:row>
    <x:row r="18">
      <x:c r="A18" s="95" t="str">
        <x:v>Validated corrections added</x:v>
      </x:c>
      <x:c r="B18" s="70" t="n">
        <x:f>'Low-Cost BOM'!E26+'Low-Cost BOM'!E27</x:f>
        <x:v>1750</x:v>
      </x:c>
    </x:row>
    <x:row r="19">
      <x:c r="A19" s="95" t="str">
        <x:v>Revised one-leg estimate</x:v>
      </x:c>
      <x:c r="B19" s="70" t="n">
        <x:f>'Low-Cost BOM'!E21+'Low-Cost BOM'!E26+'Low-Cost BOM'!E27</x:f>
        <x:v>20700</x:v>
      </x:c>
    </x:row>
    <x:row r="20">
      <x:c r="A20" s="95" t="str">
        <x:v>Final wearable compliance</x:v>
      </x:c>
      <x:c r="B20" s="68" t="str">
        <x:v>NO — bench/unloaded prototype only</x:v>
      </x:c>
    </x:row>
    <x:row r="21">
      <x:c r="A21" s="95" t="str">
        <x:v>Main reason</x:v>
      </x:c>
      <x:c r="B21" s="68" t="str">
        <x:v>Cheap 24 V brushed motors do not match the PDF's provisional 48 V BLDC/PMSM final drive recommendation.</x:v>
      </x:c>
    </x:row>
    <x:row r="22">
      <x:c r="A22" s="95" t="str">
        <x:v>Required before human test</x:v>
      </x:c>
      <x:c r="B22" s="68" t="str">
        <x:v>Instrumented dummy-load bench validation, final GRF/COP data, thermal/current validation and fail-safe power cut.</x:v>
      </x:c>
    </x:row>
    <x:row r="23">
      <x:c r="A23" s="98" t="str">
        <x:v>Verdict</x:v>
      </x:c>
      <x:c r="B23" s="68" t="str">
        <x:v>Validated only as a low-cost bench/unloaded VLA prototype.</x:v>
      </x:c>
    </x:row>
    <x:row r="24">
      <x:c r="A24" s="98" t="str">
        <x:v>Not validated for</x:v>
      </x:c>
      <x:c r="B24" s="68" t="str">
        <x:v>Human-weight-bearing operation using the current cheap motors/transmission.</x:v>
      </x:c>
    </x:row>
    <x:row r="25">
      <x:c r="A25" s="98" t="str">
        <x:v>Key corrections made</x:v>
      </x:c>
      <x:c r="B25" s="68" t="str">
        <x:v>24 V / 40 A supply, ~15:1 knee reduction, ~25:1 ankle reduction, I²C multiplexer, and hardware power contactor.</x:v>
      </x:c>
    </x:row>
  </x:sheetData>
  <x:mergeCells>
    <x:mergeCell ref="A1:E1"/>
    <x:mergeCell ref="A9:E9"/>
    <x:mergeCell ref="A10:E10"/>
    <x:mergeCell ref="A11:E11"/>
    <x:mergeCell ref="A12:E12"/>
    <x:mergeCell ref="A13:E13"/>
    <x:mergeCell ref="A14:E14"/>
  </x:mergeCells>
  <x:pageMargins left="0.7" right="0.7" top="0.75" bottom="0.75" header="0.3" footer="0.3"/>
  <x:drawing xmlns:r="http://schemas.openxmlformats.org/officeDocument/2006/relationships" r:id="R165bd993877841ac"/>
</x:worksheet>
</file>